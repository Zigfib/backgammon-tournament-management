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elayppmcom-my.sharepoint.com/personal/zigi_fibert_belayppm_com/Documents/Backgammon/Swiss/"/>
    </mc:Choice>
  </mc:AlternateContent>
  <xr:revisionPtr revIDLastSave="5886" documentId="8_{8439E0C0-5980-4DDC-BA64-7B30D0FD93F4}" xr6:coauthVersionLast="47" xr6:coauthVersionMax="47" xr10:uidLastSave="{C088275F-0989-4029-8F21-9CAA49311D65}"/>
  <bookViews>
    <workbookView xWindow="-120" yWindow="-120" windowWidth="38640" windowHeight="21120" activeTab="4" xr2:uid="{CDB2B20F-2187-4D1A-A275-CCC0E37B8BEA}"/>
  </bookViews>
  <sheets>
    <sheet name="Set Up" sheetId="1" r:id="rId1"/>
    <sheet name="To Do" sheetId="5" r:id="rId2"/>
    <sheet name="Competition Table" sheetId="2" r:id="rId3"/>
    <sheet name="Helper" sheetId="4" r:id="rId4"/>
    <sheet name="Notes" sheetId="6" r:id="rId5"/>
  </sheets>
  <functionGroups builtInGroupCount="19"/>
  <definedNames>
    <definedName name="byeMatch">'Set Up'!$H$4</definedName>
    <definedName name="MaxDiff">'Set Up'!$F$4</definedName>
    <definedName name="numRound">'Set Up'!$D$4</definedName>
    <definedName name="WithBye">Helper!$C$142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2" l="1"/>
  <c r="H12" i="2"/>
  <c r="H19" i="2"/>
  <c r="H13" i="2"/>
  <c r="H15" i="2"/>
  <c r="H17" i="2"/>
  <c r="H18" i="2"/>
  <c r="H14" i="2"/>
  <c r="G16" i="2"/>
  <c r="G12" i="2"/>
  <c r="G19" i="2"/>
  <c r="G13" i="2"/>
  <c r="G15" i="2"/>
  <c r="G17" i="2"/>
  <c r="G18" i="2"/>
  <c r="G14" i="2"/>
  <c r="C16" i="2"/>
  <c r="C12" i="2"/>
  <c r="C19" i="2"/>
  <c r="C13" i="2"/>
  <c r="C15" i="2"/>
  <c r="C17" i="2"/>
  <c r="C18" i="2"/>
  <c r="C14" i="2"/>
  <c r="B16" i="2"/>
  <c r="B12" i="2"/>
  <c r="B19" i="2"/>
  <c r="B13" i="2"/>
  <c r="B15" i="2"/>
  <c r="B17" i="2"/>
  <c r="B18" i="2"/>
  <c r="B14" i="2"/>
  <c r="F13" i="2" l="1"/>
  <c r="F15" i="2"/>
  <c r="F14" i="2"/>
  <c r="F17" i="2"/>
  <c r="F12" i="2"/>
  <c r="F19" i="2"/>
  <c r="F18" i="2"/>
  <c r="F16" i="2"/>
  <c r="AB13" i="5"/>
</calcChain>
</file>

<file path=xl/sharedStrings.xml><?xml version="1.0" encoding="utf-8"?>
<sst xmlns="http://schemas.openxmlformats.org/spreadsheetml/2006/main" count="141" uniqueCount="97">
  <si>
    <t>Set Up Rapid Swiss</t>
  </si>
  <si>
    <t>Y/N</t>
  </si>
  <si>
    <t>Number of rounds</t>
  </si>
  <si>
    <t>Point difference allowed</t>
  </si>
  <si>
    <t>Bye</t>
  </si>
  <si>
    <t>Player</t>
  </si>
  <si>
    <t>emailAddress</t>
  </si>
  <si>
    <t>N</t>
  </si>
  <si>
    <t>Zigi</t>
  </si>
  <si>
    <t>Danny</t>
  </si>
  <si>
    <t>Jeff</t>
  </si>
  <si>
    <t>windo</t>
  </si>
  <si>
    <t>Ideas for future improvement</t>
  </si>
  <si>
    <t xml:space="preserve">Send email re pairing with a picture and a description </t>
  </si>
  <si>
    <t>work requirements for bye and program</t>
  </si>
  <si>
    <t>Display pairing and tables on website</t>
  </si>
  <si>
    <t>If playing bye give a win but no point difference.</t>
  </si>
  <si>
    <t>Create an app</t>
  </si>
  <si>
    <t>Tournament Tables</t>
  </si>
  <si>
    <t>Round 1</t>
  </si>
  <si>
    <t>R1 Score</t>
  </si>
  <si>
    <t>Round 2</t>
  </si>
  <si>
    <t>R2 Score</t>
  </si>
  <si>
    <t>Round 3</t>
  </si>
  <si>
    <t>R3 Score</t>
  </si>
  <si>
    <t>5-2</t>
  </si>
  <si>
    <t>Ranking will be done by Points won, followed by TB (point won against tied opponents), followed by Buchholtz, and then point difference</t>
  </si>
  <si>
    <t>M Played</t>
  </si>
  <si>
    <t>Won</t>
  </si>
  <si>
    <t>TB</t>
  </si>
  <si>
    <t>Buchholz</t>
  </si>
  <si>
    <t>Point diff</t>
  </si>
  <si>
    <t>Points for</t>
  </si>
  <si>
    <t>Points against</t>
  </si>
  <si>
    <t>R1Opp</t>
  </si>
  <si>
    <t>R1Out</t>
  </si>
  <si>
    <t>R1For</t>
  </si>
  <si>
    <t>R1Against</t>
  </si>
  <si>
    <t>R2Opp</t>
  </si>
  <si>
    <t>R2Out</t>
  </si>
  <si>
    <t>R2For</t>
  </si>
  <si>
    <t>R2Against</t>
  </si>
  <si>
    <t>R3Opp</t>
  </si>
  <si>
    <t>R3Out</t>
  </si>
  <si>
    <t>R3For</t>
  </si>
  <si>
    <t>R3Against</t>
  </si>
  <si>
    <t>numPoPP</t>
  </si>
  <si>
    <t>Status</t>
  </si>
  <si>
    <t>Status Pair</t>
  </si>
  <si>
    <t>Click set up</t>
  </si>
  <si>
    <t>Create table pairs and standing</t>
  </si>
  <si>
    <t>Version</t>
  </si>
  <si>
    <t>Working old style but sometime needs manual intervention - CtlZ</t>
  </si>
  <si>
    <t>First attemps at new style</t>
  </si>
  <si>
    <t>new take on new style</t>
  </si>
  <si>
    <t>6-7</t>
  </si>
  <si>
    <t>FinalMatch</t>
  </si>
  <si>
    <t>7-2</t>
  </si>
  <si>
    <t>7-5</t>
  </si>
  <si>
    <t>3-5</t>
  </si>
  <si>
    <t>Manual pairing sort by potential players</t>
  </si>
  <si>
    <t xml:space="preserve">Different tournament sytles </t>
  </si>
  <si>
    <t>Ruth</t>
  </si>
  <si>
    <t>Kevin</t>
  </si>
  <si>
    <t>Michail</t>
  </si>
  <si>
    <t>Robin</t>
  </si>
  <si>
    <t>Philippa</t>
  </si>
  <si>
    <t>Robin / Zigi</t>
  </si>
  <si>
    <t>Kevin / Jeff</t>
  </si>
  <si>
    <t>Ruth / Danny</t>
  </si>
  <si>
    <t>1-7</t>
  </si>
  <si>
    <t>0-7</t>
  </si>
  <si>
    <t>Danny / Zigi</t>
  </si>
  <si>
    <t>Robin / Ruth</t>
  </si>
  <si>
    <t>3-7</t>
  </si>
  <si>
    <t>Kevin / Philippa</t>
  </si>
  <si>
    <t>Michail / Jeff</t>
  </si>
  <si>
    <t>Kevin / Danny</t>
  </si>
  <si>
    <t>Philippa / Zigi</t>
  </si>
  <si>
    <t>Michail / Robin</t>
  </si>
  <si>
    <t>Ruth / Jeff</t>
  </si>
  <si>
    <t>7-4</t>
  </si>
  <si>
    <t>Mihail</t>
  </si>
  <si>
    <t>Mihail / Philippa</t>
  </si>
  <si>
    <t>p1</t>
  </si>
  <si>
    <t>p2</t>
  </si>
  <si>
    <t>P3</t>
  </si>
  <si>
    <t>p4</t>
  </si>
  <si>
    <t>p5</t>
  </si>
  <si>
    <t>p6</t>
  </si>
  <si>
    <t>p1/p2</t>
  </si>
  <si>
    <t>p7</t>
  </si>
  <si>
    <t>p3/p4</t>
  </si>
  <si>
    <t>p5/p6</t>
  </si>
  <si>
    <t>p2/p7</t>
  </si>
  <si>
    <t>1-5</t>
  </si>
  <si>
    <t>5-0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</si>
</sst>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1"/>
    <xf numFmtId="0" fontId="3" fillId="0" borderId="0" xfId="0" applyFont="1"/>
    <xf numFmtId="0" fontId="0" fillId="0" borderId="0" xfId="0" applyAlignment="1">
      <alignment horizontal="left"/>
    </xf>
    <xf numFmtId="0" fontId="4" fillId="0" borderId="0" xfId="2"/>
    <xf numFmtId="0" fontId="5" fillId="0" borderId="0" xfId="0" applyFont="1"/>
    <xf numFmtId="0" fontId="6" fillId="0" borderId="0" xfId="0" applyFont="1"/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3" borderId="0" xfId="0" quotePrefix="1" applyFill="1"/>
    <xf numFmtId="0" fontId="0" fillId="0" borderId="0" xfId="0" quotePrefix="1"/>
    <xf numFmtId="49" fontId="0" fillId="0" borderId="0" xfId="0" applyNumberFormat="1"/>
  </cellXfs>
  <cellStyles count="3">
    <cellStyle name="Hyperlink" xfId="2" builtinId="8"/>
    <cellStyle name="Input" xfId="1" builtinId="20"/>
    <cellStyle name="Normal" xfId="0" builtinId="0"/>
  </cellStyles>
  <dxfs count="17">
    <dxf>
      <numFmt numFmtId="1" formatCode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6</xdr:row>
      <xdr:rowOff>25400</xdr:rowOff>
    </xdr:from>
    <xdr:to>
      <xdr:col>3</xdr:col>
      <xdr:colOff>1104900</xdr:colOff>
      <xdr:row>7</xdr:row>
      <xdr:rowOff>165100</xdr:rowOff>
    </xdr:to>
    <xdr:sp macro="" textlink="">
      <xdr:nvSpPr>
        <xdr:cNvPr id="2049" name="cmdCreateTables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</xdr:row>
          <xdr:rowOff>152400</xdr:rowOff>
        </xdr:from>
        <xdr:to>
          <xdr:col>3</xdr:col>
          <xdr:colOff>1152525</xdr:colOff>
          <xdr:row>7</xdr:row>
          <xdr:rowOff>133350</xdr:rowOff>
        </xdr:to>
        <xdr:sp macro="" textlink="">
          <xdr:nvSpPr>
            <xdr:cNvPr id="2051" name="cmdSetUp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952500</xdr:colOff>
      <xdr:row>0</xdr:row>
      <xdr:rowOff>88900</xdr:rowOff>
    </xdr:from>
    <xdr:to>
      <xdr:col>3</xdr:col>
      <xdr:colOff>339065</xdr:colOff>
      <xdr:row>1</xdr:row>
      <xdr:rowOff>34925</xdr:rowOff>
    </xdr:to>
    <xdr:sp macro="" textlink="">
      <xdr:nvSpPr>
        <xdr:cNvPr id="3073" name="CommPairM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314931-FE3E-49ED-AF3A-069B50D3FB73}" name="tblPlayers" displayName="tblPlayers" ref="A4:B12" totalsRowShown="0">
  <autoFilter ref="A4:B12" xr:uid="{48314931-FE3E-49ED-AF3A-069B50D3FB73}"/>
  <sortState xmlns:xlrd2="http://schemas.microsoft.com/office/spreadsheetml/2017/richdata2" ref="A5:B10">
    <sortCondition ref="A4:A10"/>
  </sortState>
  <tableColumns count="2">
    <tableColumn id="1" xr3:uid="{CBA644F0-1986-4BF1-B186-11D7133B2C40}" name="Player"/>
    <tableColumn id="2" xr3:uid="{B3855BE0-FF42-40B2-A677-331D97B95AAF}" name="emailAddress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29EB8F9-95D7-4A49-81E1-E04956A6BB02}" name="tblPairs" displayName="tblPairs" ref="A3:F7" totalsRowShown="0">
  <autoFilter ref="A3:F7" xr:uid="{A29EB8F9-95D7-4A49-81E1-E04956A6BB02}"/>
  <tableColumns count="6">
    <tableColumn id="1" xr3:uid="{DC797107-F89D-4906-BF66-E3B384CEE5CE}" name="Round 1"/>
    <tableColumn id="2" xr3:uid="{B27D0441-FA2C-4BAC-AAF9-923441070BF6}" name="R1 Score"/>
    <tableColumn id="3" xr3:uid="{44DAB1FE-7119-4D7F-94A3-CC5524C08E4B}" name="Round 2"/>
    <tableColumn id="4" xr3:uid="{3F61970F-08AA-45F8-A1A9-DA2CC366BA13}" name="R2 Score"/>
    <tableColumn id="5" xr3:uid="{945FBC7E-DD72-46D7-8907-B084ABCBBC07}" name="Round 3"/>
    <tableColumn id="6" xr3:uid="{6F2504A3-8356-4578-A114-D8B2610B3278}" name="R3 Sc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796EF03-19F6-49C3-8B3F-EC2876B5221E}" name="tblStanding" displayName="tblStanding" ref="A11:W19" totalsRowShown="0">
  <autoFilter ref="A11:W19" xr:uid="{1796EF03-19F6-49C3-8B3F-EC2876B5221E}"/>
  <sortState xmlns:xlrd2="http://schemas.microsoft.com/office/spreadsheetml/2017/richdata2" ref="A12:W19">
    <sortCondition descending="1" ref="C12:C19"/>
    <sortCondition descending="1" ref="D12:D19"/>
    <sortCondition descending="1" ref="E12:E19"/>
    <sortCondition descending="1" ref="F12:F19"/>
    <sortCondition ref="B12:B19"/>
  </sortState>
  <tableColumns count="23">
    <tableColumn id="1" xr3:uid="{7749074A-81EC-4731-8A19-69F124880ABB}" name="Player"/>
    <tableColumn id="2" xr3:uid="{70A76929-1356-470E-A963-6A13B25719F4}" name="M Played" dataDxfId="16">
      <calculatedColumnFormula>COUNTA(tblStanding[[#This Row],[R1Out]],tblStanding[[#This Row],[R2Out]],tblStanding[[#This Row],[R3Out]])</calculatedColumnFormula>
    </tableColumn>
    <tableColumn id="3" xr3:uid="{E1849F79-8F07-48BB-88D1-DCEA045E1B84}" name="Won" dataDxfId="15">
      <calculatedColumnFormula>0 + tblStanding[[#This Row],[R1Out]] + tblStanding[[#This Row],[R2Out]] + tblStanding[[#This Row],[R3Out]]</calculatedColumnFormula>
    </tableColumn>
    <tableColumn id="4" xr3:uid="{0307CC00-54DF-4D2C-AEFE-3B6560B69D48}" name="TB" dataDxfId="14"/>
    <tableColumn id="5" xr3:uid="{91C6F9E6-B414-4F25-AAB6-C0E29F184678}" name="Buchholz" dataDxfId="13"/>
    <tableColumn id="6" xr3:uid="{C7E6CAD5-2398-4324-9741-AAA92DC9C2AA}" name="Point diff" dataDxfId="12">
      <calculatedColumnFormula>tblStanding[[#This Row],[Points for]]-tblStanding[[#This Row],[Points against]]</calculatedColumnFormula>
    </tableColumn>
    <tableColumn id="7" xr3:uid="{FECA1955-1290-4014-A4D7-9BBF95CA1B85}" name="Points for" dataDxfId="11">
      <calculatedColumnFormula>0 + tblStanding[[#This Row],[R1For]] + tblStanding[[#This Row],[R2For]] + tblStanding[[#This Row],[R3For]]</calculatedColumnFormula>
    </tableColumn>
    <tableColumn id="8" xr3:uid="{BE9C03F2-CF4B-4667-A999-5F719B99FE71}" name="Points against" dataDxfId="10">
      <calculatedColumnFormula>0 + tblStanding[[#This Row],[R1Against]] + tblStanding[[#This Row],[R2Against]] + tblStanding[[#This Row],[R3Against]]</calculatedColumnFormula>
    </tableColumn>
    <tableColumn id="9" xr3:uid="{E288EF58-1E13-4AAF-8F64-02EE97FFE17A}" name="R1Opp"/>
    <tableColumn id="10" xr3:uid="{99182C3A-080F-4CE9-BC62-4E8B163BD146}" name="R1Out" dataDxfId="9"/>
    <tableColumn id="11" xr3:uid="{99BD9885-0D48-4F2D-8B21-ACB7E6DFBA0E}" name="R1For" dataDxfId="8"/>
    <tableColumn id="12" xr3:uid="{97D1C77D-C44B-4191-9D69-7AD76809577D}" name="R1Against" dataDxfId="7"/>
    <tableColumn id="13" xr3:uid="{94E089DD-9B34-428F-829A-A84C3CEB1EB5}" name="R2Opp"/>
    <tableColumn id="14" xr3:uid="{1197B90A-80ED-41D2-B632-0E15C3A147C3}" name="R2Out" dataDxfId="6"/>
    <tableColumn id="15" xr3:uid="{04E31B67-EFC8-47D3-8322-337610F91A67}" name="R2For" dataDxfId="5"/>
    <tableColumn id="16" xr3:uid="{9F918FEB-7F08-4792-9D39-6DA6F530A9B5}" name="R2Against" dataDxfId="4"/>
    <tableColumn id="17" xr3:uid="{C4426550-265F-4043-A00D-DF9687A5D0F7}" name="R3Opp"/>
    <tableColumn id="18" xr3:uid="{E3E57D42-D3EC-4DA3-B013-E55215F1FF77}" name="R3Out" dataDxfId="3"/>
    <tableColumn id="19" xr3:uid="{5DF2CC20-394C-4878-926F-9FA5C002BD15}" name="R3For" dataDxfId="2"/>
    <tableColumn id="20" xr3:uid="{65BDE9D6-7FA1-4DCC-B977-65F483B727D2}" name="R3Against" dataDxfId="1"/>
    <tableColumn id="21" xr3:uid="{70364DC5-7723-4579-9B43-65824303F8B4}" name="numPoPP"/>
    <tableColumn id="22" xr3:uid="{3FA0CB33-A35F-4C15-86CA-A4DBA7292E70}" name="Status"/>
    <tableColumn id="23" xr3:uid="{6386F4EB-B4E4-4727-804F-129F7D9ED40F}" name="Status Pai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0FBA-1625-4754-A697-55205F04C318}">
  <sheetPr codeName="SetUP"/>
  <dimension ref="A1:H68"/>
  <sheetViews>
    <sheetView zoomScaleNormal="100" workbookViewId="0">
      <selection activeCell="C19" sqref="C19"/>
    </sheetView>
  </sheetViews>
  <sheetFormatPr defaultColWidth="8.85546875" defaultRowHeight="15" x14ac:dyDescent="0.25"/>
  <cols>
    <col min="1" max="1" width="15" customWidth="1"/>
    <col min="2" max="2" width="20.85546875" bestFit="1" customWidth="1"/>
    <col min="3" max="3" width="9.85546875" customWidth="1"/>
    <col min="4" max="4" width="17.42578125" bestFit="1" customWidth="1"/>
    <col min="6" max="6" width="23.42578125" bestFit="1" customWidth="1"/>
    <col min="11" max="11" width="31.7109375" bestFit="1" customWidth="1"/>
  </cols>
  <sheetData>
    <row r="1" spans="1:8" ht="21" x14ac:dyDescent="0.35">
      <c r="A1" s="2" t="s">
        <v>0</v>
      </c>
    </row>
    <row r="2" spans="1:8" x14ac:dyDescent="0.25">
      <c r="H2" t="s">
        <v>1</v>
      </c>
    </row>
    <row r="3" spans="1:8" x14ac:dyDescent="0.25">
      <c r="D3" t="s">
        <v>2</v>
      </c>
      <c r="F3" t="s">
        <v>3</v>
      </c>
      <c r="H3" t="s">
        <v>4</v>
      </c>
    </row>
    <row r="4" spans="1:8" x14ac:dyDescent="0.25">
      <c r="A4" t="s">
        <v>5</v>
      </c>
      <c r="B4" t="s">
        <v>6</v>
      </c>
      <c r="D4" s="1">
        <v>3</v>
      </c>
      <c r="F4" s="1">
        <v>1</v>
      </c>
      <c r="H4" s="1" t="s">
        <v>7</v>
      </c>
    </row>
    <row r="5" spans="1:8" x14ac:dyDescent="0.25">
      <c r="A5" t="s">
        <v>8</v>
      </c>
      <c r="B5" s="4"/>
    </row>
    <row r="6" spans="1:8" x14ac:dyDescent="0.25">
      <c r="A6" t="s">
        <v>9</v>
      </c>
      <c r="B6" s="4"/>
    </row>
    <row r="7" spans="1:8" x14ac:dyDescent="0.25">
      <c r="A7" t="s">
        <v>62</v>
      </c>
      <c r="B7" s="4"/>
    </row>
    <row r="8" spans="1:8" x14ac:dyDescent="0.25">
      <c r="A8" t="s">
        <v>63</v>
      </c>
      <c r="B8" s="4"/>
    </row>
    <row r="9" spans="1:8" x14ac:dyDescent="0.25">
      <c r="A9" t="s">
        <v>64</v>
      </c>
      <c r="B9" s="4"/>
    </row>
    <row r="10" spans="1:8" x14ac:dyDescent="0.25">
      <c r="A10" t="s">
        <v>10</v>
      </c>
      <c r="B10" s="4"/>
    </row>
    <row r="11" spans="1:8" x14ac:dyDescent="0.25">
      <c r="A11" t="s">
        <v>65</v>
      </c>
      <c r="B11" s="4"/>
    </row>
    <row r="12" spans="1:8" x14ac:dyDescent="0.25">
      <c r="A12" t="s">
        <v>66</v>
      </c>
      <c r="B12" s="4"/>
    </row>
    <row r="68" spans="4:4" x14ac:dyDescent="0.25">
      <c r="D68" t="s">
        <v>11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cmdSetUp">
          <controlPr defaultSize="0" autoLine="0" autoPict="0" r:id="rId5">
            <anchor moveWithCells="1">
              <from>
                <xdr:col>3</xdr:col>
                <xdr:colOff>76200</xdr:colOff>
                <xdr:row>5</xdr:row>
                <xdr:rowOff>152400</xdr:rowOff>
              </from>
              <to>
                <xdr:col>3</xdr:col>
                <xdr:colOff>1152525</xdr:colOff>
                <xdr:row>7</xdr:row>
                <xdr:rowOff>133350</xdr:rowOff>
              </to>
            </anchor>
          </controlPr>
        </control>
      </mc:Choice>
      <mc:Fallback>
        <control shapeId="2051" r:id="rId4" name="cmdSetUp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3640C-0AC6-463B-895F-6AFFF93D8DFC}">
  <sheetPr codeName="Sheet2"/>
  <dimension ref="A2:AB23"/>
  <sheetViews>
    <sheetView workbookViewId="0">
      <selection activeCell="C13" sqref="C13"/>
    </sheetView>
  </sheetViews>
  <sheetFormatPr defaultColWidth="8.85546875" defaultRowHeight="15" x14ac:dyDescent="0.25"/>
  <cols>
    <col min="1" max="1" width="6.42578125" customWidth="1"/>
  </cols>
  <sheetData>
    <row r="2" spans="1:28" x14ac:dyDescent="0.25">
      <c r="A2" s="3"/>
      <c r="B2" s="5"/>
    </row>
    <row r="3" spans="1:28" x14ac:dyDescent="0.25">
      <c r="B3" t="s">
        <v>12</v>
      </c>
    </row>
    <row r="4" spans="1:28" x14ac:dyDescent="0.25">
      <c r="B4">
        <v>1</v>
      </c>
      <c r="C4" t="s">
        <v>60</v>
      </c>
    </row>
    <row r="5" spans="1:28" x14ac:dyDescent="0.25">
      <c r="B5">
        <v>2</v>
      </c>
      <c r="C5" t="s">
        <v>13</v>
      </c>
    </row>
    <row r="6" spans="1:28" x14ac:dyDescent="0.25">
      <c r="B6">
        <v>3</v>
      </c>
      <c r="C6" t="s">
        <v>14</v>
      </c>
    </row>
    <row r="7" spans="1:28" x14ac:dyDescent="0.25">
      <c r="B7">
        <v>4</v>
      </c>
      <c r="C7" t="s">
        <v>15</v>
      </c>
    </row>
    <row r="8" spans="1:28" x14ac:dyDescent="0.25">
      <c r="B8">
        <v>5</v>
      </c>
      <c r="C8" t="s">
        <v>16</v>
      </c>
    </row>
    <row r="9" spans="1:28" x14ac:dyDescent="0.25">
      <c r="B9">
        <v>6</v>
      </c>
      <c r="C9" t="s">
        <v>17</v>
      </c>
    </row>
    <row r="10" spans="1:28" x14ac:dyDescent="0.25">
      <c r="B10">
        <v>7</v>
      </c>
      <c r="C10" t="s">
        <v>61</v>
      </c>
    </row>
    <row r="13" spans="1:28" x14ac:dyDescent="0.25">
      <c r="AB13">
        <f>+V13</f>
        <v>0</v>
      </c>
    </row>
    <row r="20" spans="2:3" x14ac:dyDescent="0.25">
      <c r="B20" t="s">
        <v>51</v>
      </c>
    </row>
    <row r="21" spans="2:3" x14ac:dyDescent="0.25">
      <c r="B21">
        <v>1.9</v>
      </c>
      <c r="C21" t="s">
        <v>52</v>
      </c>
    </row>
    <row r="22" spans="2:3" x14ac:dyDescent="0.25">
      <c r="B22">
        <v>2.2999999999999998</v>
      </c>
      <c r="C22" t="s">
        <v>53</v>
      </c>
    </row>
    <row r="23" spans="2:3" x14ac:dyDescent="0.25">
      <c r="B23">
        <v>3</v>
      </c>
      <c r="C23" t="s">
        <v>54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D8C39-D8EA-44B3-9708-752F7E71B027}">
  <sheetPr codeName="Tables"/>
  <dimension ref="A1:W19"/>
  <sheetViews>
    <sheetView zoomScale="106" zoomScaleNormal="106" workbookViewId="0">
      <selection activeCell="B30" sqref="B30"/>
    </sheetView>
  </sheetViews>
  <sheetFormatPr defaultColWidth="8.85546875" defaultRowHeight="15" x14ac:dyDescent="0.25"/>
  <cols>
    <col min="1" max="1" width="25.7109375" customWidth="1"/>
    <col min="2" max="2" width="15.7109375" customWidth="1"/>
    <col min="3" max="3" width="25.7109375" customWidth="1"/>
    <col min="4" max="4" width="15.7109375" customWidth="1"/>
    <col min="5" max="5" width="25.7109375" customWidth="1"/>
    <col min="6" max="6" width="15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1" width="25.7109375" customWidth="1"/>
    <col min="12" max="12" width="15.7109375" customWidth="1"/>
    <col min="13" max="13" width="25.7109375" customWidth="1"/>
    <col min="14" max="14" width="15.7109375" customWidth="1"/>
    <col min="15" max="15" width="25.7109375" customWidth="1"/>
    <col min="16" max="16" width="15.7109375" customWidth="1"/>
    <col min="17" max="17" width="25.7109375" customWidth="1"/>
    <col min="18" max="18" width="15.7109375" customWidth="1"/>
    <col min="19" max="19" width="25.7109375" customWidth="1"/>
    <col min="20" max="20" width="15.7109375" customWidth="1"/>
    <col min="21" max="21" width="25.7109375" customWidth="1"/>
    <col min="22" max="22" width="15.7109375" customWidth="1"/>
    <col min="23" max="23" width="25.7109375" customWidth="1"/>
    <col min="24" max="24" width="15.7109375" customWidth="1"/>
    <col min="25" max="25" width="25.7109375" customWidth="1"/>
    <col min="26" max="26" width="15.7109375" customWidth="1"/>
    <col min="27" max="27" width="25.7109375" customWidth="1"/>
  </cols>
  <sheetData>
    <row r="1" spans="1:23" ht="27.75" customHeight="1" x14ac:dyDescent="0.3">
      <c r="A1" s="6" t="s">
        <v>18</v>
      </c>
    </row>
    <row r="3" spans="1:23" x14ac:dyDescent="0.25">
      <c r="A3" t="s">
        <v>19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</row>
    <row r="4" spans="1:23" ht="19.5" customHeight="1" x14ac:dyDescent="0.25">
      <c r="A4" t="s">
        <v>67</v>
      </c>
      <c r="B4" s="10" t="s">
        <v>70</v>
      </c>
      <c r="C4" t="s">
        <v>72</v>
      </c>
      <c r="D4" s="10" t="s">
        <v>58</v>
      </c>
      <c r="E4" t="s">
        <v>77</v>
      </c>
      <c r="F4" s="10" t="s">
        <v>71</v>
      </c>
    </row>
    <row r="5" spans="1:23" x14ac:dyDescent="0.25">
      <c r="A5" t="s">
        <v>83</v>
      </c>
      <c r="B5" s="10" t="s">
        <v>74</v>
      </c>
      <c r="C5" t="s">
        <v>73</v>
      </c>
      <c r="D5" s="10" t="s">
        <v>58</v>
      </c>
      <c r="E5" t="s">
        <v>78</v>
      </c>
      <c r="F5" s="10" t="s">
        <v>57</v>
      </c>
    </row>
    <row r="6" spans="1:23" x14ac:dyDescent="0.25">
      <c r="A6" t="s">
        <v>68</v>
      </c>
      <c r="B6" s="10" t="s">
        <v>57</v>
      </c>
      <c r="C6" t="s">
        <v>75</v>
      </c>
      <c r="D6" s="10" t="s">
        <v>57</v>
      </c>
      <c r="E6" t="s">
        <v>79</v>
      </c>
      <c r="F6" s="10" t="s">
        <v>81</v>
      </c>
    </row>
    <row r="7" spans="1:23" x14ac:dyDescent="0.25">
      <c r="A7" t="s">
        <v>69</v>
      </c>
      <c r="B7" s="10" t="s">
        <v>71</v>
      </c>
      <c r="C7" t="s">
        <v>76</v>
      </c>
      <c r="D7" s="10" t="s">
        <v>57</v>
      </c>
      <c r="E7" t="s">
        <v>80</v>
      </c>
      <c r="F7" s="9" t="s">
        <v>55</v>
      </c>
    </row>
    <row r="10" spans="1:23" x14ac:dyDescent="0.25">
      <c r="A10" t="s">
        <v>26</v>
      </c>
    </row>
    <row r="11" spans="1:23" x14ac:dyDescent="0.25">
      <c r="A11" t="s">
        <v>5</v>
      </c>
      <c r="B11" t="s">
        <v>27</v>
      </c>
      <c r="C11" t="s">
        <v>28</v>
      </c>
      <c r="D11" t="s">
        <v>29</v>
      </c>
      <c r="E11" t="s">
        <v>30</v>
      </c>
      <c r="F11" t="s">
        <v>31</v>
      </c>
      <c r="G11" t="s">
        <v>32</v>
      </c>
      <c r="H11" t="s">
        <v>33</v>
      </c>
      <c r="I11" t="s">
        <v>34</v>
      </c>
      <c r="J11" t="s">
        <v>35</v>
      </c>
      <c r="K11" t="s">
        <v>36</v>
      </c>
      <c r="L11" t="s">
        <v>37</v>
      </c>
      <c r="M11" t="s">
        <v>38</v>
      </c>
      <c r="N11" t="s">
        <v>39</v>
      </c>
      <c r="O11" t="s">
        <v>40</v>
      </c>
      <c r="P11" t="s">
        <v>41</v>
      </c>
      <c r="Q11" t="s">
        <v>42</v>
      </c>
      <c r="R11" t="s">
        <v>43</v>
      </c>
      <c r="S11" t="s">
        <v>44</v>
      </c>
      <c r="T11" t="s">
        <v>45</v>
      </c>
      <c r="U11" t="s">
        <v>46</v>
      </c>
      <c r="V11" t="s">
        <v>47</v>
      </c>
      <c r="W11" t="s">
        <v>48</v>
      </c>
    </row>
    <row r="12" spans="1:23" x14ac:dyDescent="0.25">
      <c r="A12" t="s">
        <v>9</v>
      </c>
      <c r="B12" s="7">
        <f>COUNTA(tblStanding[[#This Row],[R1Out]],tblStanding[[#This Row],[R2Out]],tblStanding[[#This Row],[R3Out]])</f>
        <v>3</v>
      </c>
      <c r="C12" s="7">
        <f>0 + tblStanding[[#This Row],[R1Out]] + tblStanding[[#This Row],[R2Out]] + tblStanding[[#This Row],[R3Out]]</f>
        <v>3</v>
      </c>
      <c r="D12" s="7">
        <v>0</v>
      </c>
      <c r="E12" s="7">
        <v>3</v>
      </c>
      <c r="F12" s="7">
        <f>tblStanding[[#This Row],[Points for]]-tblStanding[[#This Row],[Points against]]</f>
        <v>16</v>
      </c>
      <c r="G12" s="7">
        <f>0 + tblStanding[[#This Row],[R1For]] + tblStanding[[#This Row],[R2For]] + tblStanding[[#This Row],[R3For]]</f>
        <v>21</v>
      </c>
      <c r="H12" s="7">
        <f>0 + tblStanding[[#This Row],[R1Against]] + tblStanding[[#This Row],[R2Against]] + tblStanding[[#This Row],[R3Against]]</f>
        <v>5</v>
      </c>
      <c r="I12" t="s">
        <v>62</v>
      </c>
      <c r="J12" s="7">
        <v>1</v>
      </c>
      <c r="K12" s="7">
        <v>7</v>
      </c>
      <c r="L12" s="7">
        <v>0</v>
      </c>
      <c r="M12" t="s">
        <v>8</v>
      </c>
      <c r="N12" s="7">
        <v>1</v>
      </c>
      <c r="O12" s="7">
        <v>7</v>
      </c>
      <c r="P12" s="7">
        <v>5</v>
      </c>
      <c r="Q12" t="s">
        <v>63</v>
      </c>
      <c r="R12" s="7">
        <v>1</v>
      </c>
      <c r="S12" s="7">
        <v>7</v>
      </c>
      <c r="T12" s="7">
        <v>0</v>
      </c>
      <c r="V12" t="s">
        <v>56</v>
      </c>
      <c r="W12" s="8">
        <v>0</v>
      </c>
    </row>
    <row r="13" spans="1:23" x14ac:dyDescent="0.25">
      <c r="A13" t="s">
        <v>63</v>
      </c>
      <c r="B13" s="7">
        <f>COUNTA(tblStanding[[#This Row],[R1Out]],tblStanding[[#This Row],[R2Out]],tblStanding[[#This Row],[R3Out]])</f>
        <v>3</v>
      </c>
      <c r="C13" s="7">
        <f>0 + tblStanding[[#This Row],[R1Out]] + tblStanding[[#This Row],[R2Out]] + tblStanding[[#This Row],[R3Out]]</f>
        <v>2</v>
      </c>
      <c r="D13" s="7">
        <v>1</v>
      </c>
      <c r="E13" s="7">
        <v>6</v>
      </c>
      <c r="F13" s="7">
        <f>tblStanding[[#This Row],[Points for]]-tblStanding[[#This Row],[Points against]]</f>
        <v>3</v>
      </c>
      <c r="G13" s="7">
        <f>0 + tblStanding[[#This Row],[R1For]] + tblStanding[[#This Row],[R2For]] + tblStanding[[#This Row],[R3For]]</f>
        <v>14</v>
      </c>
      <c r="H13" s="7">
        <f>0 + tblStanding[[#This Row],[R1Against]] + tblStanding[[#This Row],[R2Against]] + tblStanding[[#This Row],[R3Against]]</f>
        <v>11</v>
      </c>
      <c r="I13" t="s">
        <v>10</v>
      </c>
      <c r="J13" s="7">
        <v>1</v>
      </c>
      <c r="K13" s="7">
        <v>7</v>
      </c>
      <c r="L13" s="7">
        <v>2</v>
      </c>
      <c r="M13" t="s">
        <v>66</v>
      </c>
      <c r="N13" s="7">
        <v>1</v>
      </c>
      <c r="O13" s="7">
        <v>7</v>
      </c>
      <c r="P13" s="7">
        <v>2</v>
      </c>
      <c r="Q13" t="s">
        <v>9</v>
      </c>
      <c r="R13" s="7">
        <v>0</v>
      </c>
      <c r="S13" s="7">
        <v>0</v>
      </c>
      <c r="T13" s="7">
        <v>7</v>
      </c>
      <c r="V13" t="s">
        <v>56</v>
      </c>
      <c r="W13" s="8">
        <v>0</v>
      </c>
    </row>
    <row r="14" spans="1:23" x14ac:dyDescent="0.25">
      <c r="A14" t="s">
        <v>66</v>
      </c>
      <c r="B14" s="7">
        <f>COUNTA(tblStanding[[#This Row],[R1Out]],tblStanding[[#This Row],[R2Out]],tblStanding[[#This Row],[R3Out]])</f>
        <v>3</v>
      </c>
      <c r="C14" s="7">
        <f>0 + tblStanding[[#This Row],[R1Out]] + tblStanding[[#This Row],[R2Out]] + tblStanding[[#This Row],[R3Out]]</f>
        <v>2</v>
      </c>
      <c r="D14" s="7">
        <v>1</v>
      </c>
      <c r="E14" s="7">
        <v>5</v>
      </c>
      <c r="F14" s="7">
        <f>tblStanding[[#This Row],[Points for]]-tblStanding[[#This Row],[Points against]]</f>
        <v>4</v>
      </c>
      <c r="G14" s="7">
        <f>0 + tblStanding[[#This Row],[R1For]] + tblStanding[[#This Row],[R2For]] + tblStanding[[#This Row],[R3For]]</f>
        <v>16</v>
      </c>
      <c r="H14" s="7">
        <f>0 + tblStanding[[#This Row],[R1Against]] + tblStanding[[#This Row],[R2Against]] + tblStanding[[#This Row],[R3Against]]</f>
        <v>12</v>
      </c>
      <c r="I14" t="s">
        <v>64</v>
      </c>
      <c r="J14" s="7">
        <v>1</v>
      </c>
      <c r="K14" s="7">
        <v>7</v>
      </c>
      <c r="L14" s="7">
        <v>3</v>
      </c>
      <c r="M14" t="s">
        <v>63</v>
      </c>
      <c r="N14" s="7">
        <v>0</v>
      </c>
      <c r="O14" s="7">
        <v>2</v>
      </c>
      <c r="P14" s="7">
        <v>7</v>
      </c>
      <c r="Q14" t="s">
        <v>8</v>
      </c>
      <c r="R14" s="7">
        <v>1</v>
      </c>
      <c r="S14" s="7">
        <v>7</v>
      </c>
      <c r="T14" s="7">
        <v>2</v>
      </c>
      <c r="V14" t="s">
        <v>56</v>
      </c>
      <c r="W14" s="8">
        <v>0</v>
      </c>
    </row>
    <row r="15" spans="1:23" x14ac:dyDescent="0.25">
      <c r="A15" t="s">
        <v>82</v>
      </c>
      <c r="B15" s="7">
        <f>COUNTA(tblStanding[[#This Row],[R1Out]],tblStanding[[#This Row],[R2Out]],tblStanding[[#This Row],[R3Out]])</f>
        <v>3</v>
      </c>
      <c r="C15" s="7">
        <f>0 + tblStanding[[#This Row],[R1Out]] + tblStanding[[#This Row],[R2Out]] + tblStanding[[#This Row],[R3Out]]</f>
        <v>2</v>
      </c>
      <c r="D15" s="7">
        <v>0</v>
      </c>
      <c r="E15" s="7">
        <v>4</v>
      </c>
      <c r="F15" s="7">
        <f>tblStanding[[#This Row],[Points for]]-tblStanding[[#This Row],[Points against]]</f>
        <v>4</v>
      </c>
      <c r="G15" s="7">
        <f>0 + tblStanding[[#This Row],[R1For]] + tblStanding[[#This Row],[R2For]] + tblStanding[[#This Row],[R3For]]</f>
        <v>17</v>
      </c>
      <c r="H15" s="7">
        <f>0 + tblStanding[[#This Row],[R1Against]] + tblStanding[[#This Row],[R2Against]] + tblStanding[[#This Row],[R3Against]]</f>
        <v>13</v>
      </c>
      <c r="I15" t="s">
        <v>66</v>
      </c>
      <c r="J15" s="7">
        <v>0</v>
      </c>
      <c r="K15" s="7">
        <v>3</v>
      </c>
      <c r="L15" s="7">
        <v>7</v>
      </c>
      <c r="M15" t="s">
        <v>10</v>
      </c>
      <c r="N15" s="7">
        <v>1</v>
      </c>
      <c r="O15" s="7">
        <v>7</v>
      </c>
      <c r="P15" s="7">
        <v>2</v>
      </c>
      <c r="Q15" t="s">
        <v>65</v>
      </c>
      <c r="R15" s="7">
        <v>1</v>
      </c>
      <c r="S15" s="7">
        <v>7</v>
      </c>
      <c r="T15" s="7">
        <v>4</v>
      </c>
      <c r="V15" t="s">
        <v>56</v>
      </c>
      <c r="W15" s="8">
        <v>0</v>
      </c>
    </row>
    <row r="16" spans="1:23" x14ac:dyDescent="0.25">
      <c r="A16" t="s">
        <v>8</v>
      </c>
      <c r="B16" s="7">
        <f>COUNTA(tblStanding[[#This Row],[R1Out]],tblStanding[[#This Row],[R2Out]],tblStanding[[#This Row],[R3Out]])</f>
        <v>3</v>
      </c>
      <c r="C16" s="7">
        <f>0 + tblStanding[[#This Row],[R1Out]] + tblStanding[[#This Row],[R2Out]] + tblStanding[[#This Row],[R3Out]]</f>
        <v>1</v>
      </c>
      <c r="D16" s="7">
        <v>1</v>
      </c>
      <c r="E16" s="7">
        <v>6</v>
      </c>
      <c r="F16" s="7">
        <f>tblStanding[[#This Row],[Points for]]-tblStanding[[#This Row],[Points against]]</f>
        <v>-1</v>
      </c>
      <c r="G16" s="7">
        <f>0 + tblStanding[[#This Row],[R1For]] + tblStanding[[#This Row],[R2For]] + tblStanding[[#This Row],[R3For]]</f>
        <v>14</v>
      </c>
      <c r="H16" s="7">
        <f>0 + tblStanding[[#This Row],[R1Against]] + tblStanding[[#This Row],[R2Against]] + tblStanding[[#This Row],[R3Against]]</f>
        <v>15</v>
      </c>
      <c r="I16" t="s">
        <v>65</v>
      </c>
      <c r="J16" s="7">
        <v>1</v>
      </c>
      <c r="K16" s="7">
        <v>7</v>
      </c>
      <c r="L16" s="7">
        <v>1</v>
      </c>
      <c r="M16" t="s">
        <v>9</v>
      </c>
      <c r="N16" s="7">
        <v>0</v>
      </c>
      <c r="O16" s="7">
        <v>5</v>
      </c>
      <c r="P16" s="7">
        <v>7</v>
      </c>
      <c r="Q16" t="s">
        <v>66</v>
      </c>
      <c r="R16" s="7">
        <v>0</v>
      </c>
      <c r="S16" s="7">
        <v>2</v>
      </c>
      <c r="T16" s="7">
        <v>7</v>
      </c>
      <c r="V16" t="s">
        <v>56</v>
      </c>
      <c r="W16" s="8">
        <v>0</v>
      </c>
    </row>
    <row r="17" spans="1:23" x14ac:dyDescent="0.25">
      <c r="A17" t="s">
        <v>10</v>
      </c>
      <c r="B17" s="7">
        <f>COUNTA(tblStanding[[#This Row],[R1Out]],tblStanding[[#This Row],[R2Out]],tblStanding[[#This Row],[R3Out]])</f>
        <v>3</v>
      </c>
      <c r="C17" s="7">
        <f>0 + tblStanding[[#This Row],[R1Out]] + tblStanding[[#This Row],[R2Out]] + tblStanding[[#This Row],[R3Out]]</f>
        <v>1</v>
      </c>
      <c r="D17" s="7">
        <v>0</v>
      </c>
      <c r="E17" s="7">
        <v>4</v>
      </c>
      <c r="F17" s="7">
        <f>tblStanding[[#This Row],[Points for]]-tblStanding[[#This Row],[Points against]]</f>
        <v>-9</v>
      </c>
      <c r="G17" s="7">
        <f>0 + tblStanding[[#This Row],[R1For]] + tblStanding[[#This Row],[R2For]] + tblStanding[[#This Row],[R3For]]</f>
        <v>11</v>
      </c>
      <c r="H17" s="7">
        <f>0 + tblStanding[[#This Row],[R1Against]] + tblStanding[[#This Row],[R2Against]] + tblStanding[[#This Row],[R3Against]]</f>
        <v>20</v>
      </c>
      <c r="I17" t="s">
        <v>63</v>
      </c>
      <c r="J17" s="7">
        <v>0</v>
      </c>
      <c r="K17" s="7">
        <v>2</v>
      </c>
      <c r="L17" s="7">
        <v>7</v>
      </c>
      <c r="M17" t="s">
        <v>64</v>
      </c>
      <c r="N17" s="7">
        <v>0</v>
      </c>
      <c r="O17" s="7">
        <v>2</v>
      </c>
      <c r="P17" s="7">
        <v>7</v>
      </c>
      <c r="Q17" t="s">
        <v>62</v>
      </c>
      <c r="R17" s="7">
        <v>1</v>
      </c>
      <c r="S17" s="7">
        <v>7</v>
      </c>
      <c r="T17" s="7">
        <v>6</v>
      </c>
      <c r="V17" t="s">
        <v>56</v>
      </c>
      <c r="W17" s="8">
        <v>0</v>
      </c>
    </row>
    <row r="18" spans="1:23" x14ac:dyDescent="0.25">
      <c r="A18" t="s">
        <v>65</v>
      </c>
      <c r="B18" s="7">
        <f>COUNTA(tblStanding[[#This Row],[R1Out]],tblStanding[[#This Row],[R2Out]],tblStanding[[#This Row],[R3Out]])</f>
        <v>3</v>
      </c>
      <c r="C18" s="7">
        <f>0 + tblStanding[[#This Row],[R1Out]] + tblStanding[[#This Row],[R2Out]] + tblStanding[[#This Row],[R3Out]]</f>
        <v>1</v>
      </c>
      <c r="D18" s="7">
        <v>0</v>
      </c>
      <c r="E18" s="7">
        <v>3</v>
      </c>
      <c r="F18" s="7">
        <f>tblStanding[[#This Row],[Points for]]-tblStanding[[#This Row],[Points against]]</f>
        <v>-7</v>
      </c>
      <c r="G18" s="7">
        <f>0 + tblStanding[[#This Row],[R1For]] + tblStanding[[#This Row],[R2For]] + tblStanding[[#This Row],[R3For]]</f>
        <v>12</v>
      </c>
      <c r="H18" s="7">
        <f>0 + tblStanding[[#This Row],[R1Against]] + tblStanding[[#This Row],[R2Against]] + tblStanding[[#This Row],[R3Against]]</f>
        <v>19</v>
      </c>
      <c r="I18" t="s">
        <v>8</v>
      </c>
      <c r="J18" s="7">
        <v>0</v>
      </c>
      <c r="K18" s="7">
        <v>1</v>
      </c>
      <c r="L18" s="7">
        <v>7</v>
      </c>
      <c r="M18" t="s">
        <v>62</v>
      </c>
      <c r="N18" s="7">
        <v>1</v>
      </c>
      <c r="O18" s="7">
        <v>7</v>
      </c>
      <c r="P18" s="7">
        <v>5</v>
      </c>
      <c r="Q18" t="s">
        <v>64</v>
      </c>
      <c r="R18" s="7">
        <v>0</v>
      </c>
      <c r="S18" s="7">
        <v>4</v>
      </c>
      <c r="T18" s="7">
        <v>7</v>
      </c>
      <c r="V18" t="s">
        <v>56</v>
      </c>
      <c r="W18" s="8">
        <v>0</v>
      </c>
    </row>
    <row r="19" spans="1:23" x14ac:dyDescent="0.25">
      <c r="A19" t="s">
        <v>62</v>
      </c>
      <c r="B19" s="7">
        <f>COUNTA(tblStanding[[#This Row],[R1Out]],tblStanding[[#This Row],[R2Out]],tblStanding[[#This Row],[R3Out]])</f>
        <v>3</v>
      </c>
      <c r="C19" s="7">
        <f>0 + tblStanding[[#This Row],[R1Out]] + tblStanding[[#This Row],[R2Out]] + tblStanding[[#This Row],[R3Out]]</f>
        <v>0</v>
      </c>
      <c r="D19" s="7">
        <v>0</v>
      </c>
      <c r="E19" s="7">
        <v>5</v>
      </c>
      <c r="F19" s="7">
        <f>tblStanding[[#This Row],[Points for]]-tblStanding[[#This Row],[Points against]]</f>
        <v>-10</v>
      </c>
      <c r="G19" s="7">
        <f>0 + tblStanding[[#This Row],[R1For]] + tblStanding[[#This Row],[R2For]] + tblStanding[[#This Row],[R3For]]</f>
        <v>11</v>
      </c>
      <c r="H19" s="7">
        <f>0 + tblStanding[[#This Row],[R1Against]] + tblStanding[[#This Row],[R2Against]] + tblStanding[[#This Row],[R3Against]]</f>
        <v>21</v>
      </c>
      <c r="I19" t="s">
        <v>9</v>
      </c>
      <c r="J19" s="7">
        <v>0</v>
      </c>
      <c r="K19" s="7">
        <v>0</v>
      </c>
      <c r="L19" s="7">
        <v>7</v>
      </c>
      <c r="M19" t="s">
        <v>65</v>
      </c>
      <c r="N19" s="7">
        <v>0</v>
      </c>
      <c r="O19" s="7">
        <v>5</v>
      </c>
      <c r="P19" s="7">
        <v>7</v>
      </c>
      <c r="Q19" t="s">
        <v>10</v>
      </c>
      <c r="R19" s="7">
        <v>0</v>
      </c>
      <c r="S19" s="7">
        <v>6</v>
      </c>
      <c r="T19" s="7">
        <v>7</v>
      </c>
      <c r="V19" t="s">
        <v>56</v>
      </c>
      <c r="W19" s="8">
        <v>0</v>
      </c>
    </row>
  </sheetData>
  <phoneticPr fontId="2" type="noConversion"/>
  <pageMargins left="0.7" right="0.7" top="0.75" bottom="0.75" header="0.3" footer="0.3"/>
  <pageSetup paperSize="9" orientation="portrait" horizontalDpi="4294967293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A9BCE-D749-428C-A9A8-221048F416BD}">
  <sheetPr codeName="Helper"/>
  <dimension ref="C142"/>
  <sheetViews>
    <sheetView zoomScale="106" zoomScaleNormal="106" workbookViewId="0">
      <selection activeCell="B3" sqref="B3"/>
    </sheetView>
  </sheetViews>
  <sheetFormatPr defaultColWidth="8.85546875" defaultRowHeight="15" x14ac:dyDescent="0.25"/>
  <cols>
    <col min="1" max="1" width="10.7109375" customWidth="1"/>
    <col min="2" max="2" width="15.7109375" customWidth="1"/>
    <col min="3" max="3" width="11" customWidth="1"/>
    <col min="4" max="5" width="12" customWidth="1"/>
    <col min="6" max="6" width="7.85546875" customWidth="1"/>
    <col min="7" max="7" width="10" customWidth="1"/>
    <col min="8" max="9" width="9" customWidth="1"/>
    <col min="10" max="10" width="5.140625" bestFit="1" customWidth="1"/>
    <col min="11" max="11" width="11" customWidth="1"/>
  </cols>
  <sheetData>
    <row r="142" spans="3:3" x14ac:dyDescent="0.25">
      <c r="C142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8431B-350F-4612-98BB-7C27AD71294B}">
  <sheetPr codeName="Sheet1"/>
  <dimension ref="A1:M9"/>
  <sheetViews>
    <sheetView tabSelected="1" workbookViewId="0">
      <selection activeCell="D13" sqref="D13"/>
    </sheetView>
  </sheetViews>
  <sheetFormatPr defaultColWidth="8.85546875" defaultRowHeight="15" x14ac:dyDescent="0.25"/>
  <sheetData>
    <row r="1" spans="1:13" x14ac:dyDescent="0.25">
      <c r="A1" t="s">
        <v>49</v>
      </c>
    </row>
    <row r="2" spans="1:13" x14ac:dyDescent="0.25">
      <c r="A2">
        <v>1</v>
      </c>
      <c r="B2" t="s">
        <v>50</v>
      </c>
    </row>
    <row r="3" spans="1:13" x14ac:dyDescent="0.25">
      <c r="I3" t="s">
        <v>84</v>
      </c>
      <c r="J3" t="s">
        <v>90</v>
      </c>
      <c r="K3" s="11" t="s">
        <v>25</v>
      </c>
      <c r="M3" s="11"/>
    </row>
    <row r="4" spans="1:13" x14ac:dyDescent="0.25">
      <c r="I4" t="s">
        <v>85</v>
      </c>
      <c r="J4" t="s">
        <v>92</v>
      </c>
      <c r="K4" s="11" t="s">
        <v>95</v>
      </c>
      <c r="M4" s="11"/>
    </row>
    <row r="5" spans="1:13" x14ac:dyDescent="0.25">
      <c r="I5" t="s">
        <v>86</v>
      </c>
      <c r="J5" t="s">
        <v>93</v>
      </c>
      <c r="K5" s="11" t="s">
        <v>96</v>
      </c>
      <c r="M5" s="11"/>
    </row>
    <row r="6" spans="1:13" x14ac:dyDescent="0.25">
      <c r="I6" t="s">
        <v>87</v>
      </c>
      <c r="J6" t="s">
        <v>94</v>
      </c>
      <c r="K6" s="11" t="s">
        <v>59</v>
      </c>
      <c r="M6" s="11"/>
    </row>
    <row r="7" spans="1:13" x14ac:dyDescent="0.25">
      <c r="I7" t="s">
        <v>88</v>
      </c>
      <c r="K7" s="11"/>
    </row>
    <row r="8" spans="1:13" x14ac:dyDescent="0.25">
      <c r="I8" t="s">
        <v>89</v>
      </c>
    </row>
    <row r="9" spans="1:13" x14ac:dyDescent="0.25">
      <c r="I9" t="s">
        <v>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AB404F027E1F4F928B186A781D1759" ma:contentTypeVersion="17" ma:contentTypeDescription="Create a new document." ma:contentTypeScope="" ma:versionID="fcaa8055812e505bd4bcc5912d833068">
  <xsd:schema xmlns:xsd="http://www.w3.org/2001/XMLSchema" xmlns:xs="http://www.w3.org/2001/XMLSchema" xmlns:p="http://schemas.microsoft.com/office/2006/metadata/properties" xmlns:ns3="8652ea97-32bd-48d4-8e22-1d6a8c3a21cb" xmlns:ns4="18cbb714-7efc-405f-b77b-694a4f7d6a20" targetNamespace="http://schemas.microsoft.com/office/2006/metadata/properties" ma:root="true" ma:fieldsID="e1881e0fdc31518bc134a812d87d02af" ns3:_="" ns4:_="">
    <xsd:import namespace="8652ea97-32bd-48d4-8e22-1d6a8c3a21cb"/>
    <xsd:import namespace="18cbb714-7efc-405f-b77b-694a4f7d6a2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52ea97-32bd-48d4-8e22-1d6a8c3a21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cbb714-7efc-405f-b77b-694a4f7d6a2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652ea97-32bd-48d4-8e22-1d6a8c3a21cb" xsi:nil="true"/>
  </documentManagement>
</p:properties>
</file>

<file path=customXml/itemProps1.xml><?xml version="1.0" encoding="utf-8"?>
<ds:datastoreItem xmlns:ds="http://schemas.openxmlformats.org/officeDocument/2006/customXml" ds:itemID="{7D09FA6D-A4E8-4C46-8BCE-706E0EAE90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52ea97-32bd-48d4-8e22-1d6a8c3a21cb"/>
    <ds:schemaRef ds:uri="18cbb714-7efc-405f-b77b-694a4f7d6a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3ACF64-C11D-4600-A9E3-4EB57D0A55C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324AED-85DE-4702-AFC7-C60D3A180F07}">
  <ds:schemaRefs>
    <ds:schemaRef ds:uri="http://purl.org/dc/elements/1.1/"/>
    <ds:schemaRef ds:uri="http://www.w3.org/XML/1998/namespace"/>
    <ds:schemaRef ds:uri="18cbb714-7efc-405f-b77b-694a4f7d6a20"/>
    <ds:schemaRef ds:uri="http://schemas.openxmlformats.org/package/2006/metadata/core-properties"/>
    <ds:schemaRef ds:uri="http://schemas.microsoft.com/office/2006/documentManagement/types"/>
    <ds:schemaRef ds:uri="8652ea97-32bd-48d4-8e22-1d6a8c3a21cb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Set Up</vt:lpstr>
      <vt:lpstr>To Do</vt:lpstr>
      <vt:lpstr>Competition Table</vt:lpstr>
      <vt:lpstr>Helper</vt:lpstr>
      <vt:lpstr>Notes</vt:lpstr>
      <vt:lpstr>byeMatch</vt:lpstr>
      <vt:lpstr>MaxDiff</vt:lpstr>
      <vt:lpstr>numRound</vt:lpstr>
      <vt:lpstr>WithBye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Zigi Fibert</dc:creator>
  <cp:keywords/>
  <dc:description/>
  <cp:lastModifiedBy>Zigi Fibert</cp:lastModifiedBy>
  <cp:revision/>
  <dcterms:created xsi:type="dcterms:W3CDTF">2023-09-23T09:07:03Z</dcterms:created>
  <dcterms:modified xsi:type="dcterms:W3CDTF">2024-07-06T17:50:03Z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0x0101006CAB404F027E1F4F928B186A781D1759</vt:lpwstr>
  </property>
</Properties>
</file>